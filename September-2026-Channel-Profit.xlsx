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nel Summary" sheetId="1" state="visible" r:id="rId1"/>
    <sheet name="How These Were Worked Out" sheetId="2" state="visible" r:id="rId2"/>
  </sheets>
  <definedNames/>
  <calcPr calcId="124519" fullCalcOnLoad="1"/>
</workbook>
</file>

<file path=xl/styles.xml><?xml version="1.0" encoding="utf-8"?>
<styleSheet xmlns="http://schemas.openxmlformats.org/spreadsheetml/2006/main">
  <numFmts count="2">
    <numFmt numFmtId="164" formatCode="$#,##0;($#,##0);&quot;-&quot;"/>
    <numFmt numFmtId="165" formatCode="0.0%;(0.0%);&quot;-&quot;"/>
  </numFmts>
  <fonts count="8">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color rgb="000000FF"/>
      <sz val="10"/>
    </font>
    <font>
      <name val="Arial"/>
      <b val="1"/>
      <sz val="10"/>
    </font>
    <font>
      <name val="Arial"/>
      <b val="1"/>
      <sz val="12"/>
    </font>
  </fonts>
  <fills count="5">
    <fill>
      <patternFill/>
    </fill>
    <fill>
      <patternFill patternType="gray125"/>
    </fill>
    <fill>
      <patternFill patternType="solid">
        <fgColor rgb="001F2937"/>
      </patternFill>
    </fill>
    <fill>
      <patternFill patternType="solid">
        <fgColor rgb="00F3F4F6"/>
      </patternFill>
    </fill>
    <fill>
      <patternFill patternType="solid">
        <fgColor rgb="00E5E7EB"/>
      </patternFill>
    </fill>
  </fills>
  <borders count="2">
    <border>
      <left/>
      <right/>
      <top/>
      <bottom/>
      <diagonal/>
    </border>
    <border>
      <top style="thin">
        <color rgb="009CA3AF"/>
      </top>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0" borderId="0" pivotButton="0" quotePrefix="0" xfId="0"/>
    <xf numFmtId="164" fontId="5" fillId="0" borderId="0" pivotButton="0" quotePrefix="0" xfId="0"/>
    <xf numFmtId="165" fontId="4" fillId="0" borderId="0" pivotButton="0" quotePrefix="0" xfId="0"/>
    <xf numFmtId="0" fontId="6" fillId="3" borderId="1" pivotButton="0" quotePrefix="0" xfId="0"/>
    <xf numFmtId="164" fontId="6" fillId="3" borderId="1" pivotButton="0" quotePrefix="0" xfId="0"/>
    <xf numFmtId="165" fontId="6" fillId="3" borderId="1" pivotButton="0" quotePrefix="0" xfId="0"/>
    <xf numFmtId="0" fontId="7" fillId="0" borderId="0" pivotButton="0" quotePrefix="0" xfId="0"/>
    <xf numFmtId="164" fontId="4" fillId="0" borderId="0" pivotButton="0" quotePrefix="0" xfId="0"/>
    <xf numFmtId="0" fontId="6" fillId="4" borderId="1" pivotButton="0" quotePrefix="0" xfId="0"/>
    <xf numFmtId="164" fontId="6" fillId="4" borderId="1" pivotButton="0" quotePrefix="0" xfId="0"/>
    <xf numFmtId="165" fontId="6" fillId="4" borderId="1" pivotButton="0" quotePrefix="0" xfId="0"/>
    <xf numFmtId="0" fontId="6"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4" topLeftCell="A5"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15" customWidth="1" min="6" max="6"/>
    <col width="14" customWidth="1" min="7" max="7"/>
  </cols>
  <sheetData>
    <row r="1">
      <c r="A1" s="1" t="inlineStr">
        <is>
          <t>SPEEKS Technology: Net Profit by Sales Channel, September 2026</t>
        </is>
      </c>
    </row>
    <row r="2">
      <c r="A2" s="2" t="inlineStr">
        <is>
          <t>Blue = figures pulled from Shopify and eBay. Black = formulas. Recycling excluded. See the 'How These Were Worked Out' tab.</t>
        </is>
      </c>
    </row>
    <row r="4" ht="28" customHeight="1">
      <c r="A4" s="3" t="inlineStr">
        <is>
          <t>Store</t>
        </is>
      </c>
      <c r="B4" s="3" t="inlineStr">
        <is>
          <t>Channel</t>
        </is>
      </c>
      <c r="C4" s="4" t="inlineStr">
        <is>
          <t>Net Sales</t>
        </is>
      </c>
      <c r="D4" s="4" t="inlineStr">
        <is>
          <t>Gross Profit</t>
        </is>
      </c>
      <c r="E4" s="4" t="inlineStr">
        <is>
          <t>Net Profit</t>
        </is>
      </c>
      <c r="F4" s="4" t="inlineStr">
        <is>
          <t>Gross Margin %</t>
        </is>
      </c>
      <c r="G4" s="4" t="inlineStr">
        <is>
          <t>Net Margin %</t>
        </is>
      </c>
    </row>
    <row r="5">
      <c r="A5" s="5" t="inlineStr">
        <is>
          <t>Overland Park</t>
        </is>
      </c>
      <c r="B5" s="5" t="inlineStr">
        <is>
          <t>Point of Sale</t>
        </is>
      </c>
      <c r="C5" s="6" t="n">
        <v>11925.93</v>
      </c>
      <c r="D5" s="6" t="n">
        <v>5752.6</v>
      </c>
      <c r="E5" s="6" t="n">
        <v>4625.5</v>
      </c>
      <c r="F5" s="7">
        <f>IF(C5&gt;0,D5/C5,"")</f>
        <v/>
      </c>
      <c r="G5" s="7">
        <f>IF(C5&gt;0,E5/C5,"")</f>
        <v/>
      </c>
    </row>
    <row r="6">
      <c r="A6" s="5" t="inlineStr">
        <is>
          <t>Overland Park</t>
        </is>
      </c>
      <c r="B6" s="5" t="inlineStr">
        <is>
          <t>Online Store</t>
        </is>
      </c>
      <c r="C6" s="6" t="n">
        <v>26734.21</v>
      </c>
      <c r="D6" s="6" t="n">
        <v>12715.53</v>
      </c>
      <c r="E6" s="6" t="n">
        <v>8899.389999999999</v>
      </c>
      <c r="F6" s="7">
        <f>IF(C6&gt;0,D6/C6,"")</f>
        <v/>
      </c>
      <c r="G6" s="7">
        <f>IF(C6&gt;0,E6/C6,"")</f>
        <v/>
      </c>
    </row>
    <row r="7">
      <c r="A7" s="5" t="inlineStr">
        <is>
          <t>Overland Park</t>
        </is>
      </c>
      <c r="B7" s="5" t="inlineStr">
        <is>
          <t>eBay</t>
        </is>
      </c>
      <c r="C7" s="6" t="n">
        <v>107568.36</v>
      </c>
      <c r="D7" s="6" t="n">
        <v>58009.1</v>
      </c>
      <c r="E7" s="6" t="n">
        <v>36038.59</v>
      </c>
      <c r="F7" s="7">
        <f>IF(C7&gt;0,D7/C7,"")</f>
        <v/>
      </c>
      <c r="G7" s="7">
        <f>IF(C7&gt;0,E7/C7,"")</f>
        <v/>
      </c>
    </row>
    <row r="8">
      <c r="A8" s="5" t="inlineStr">
        <is>
          <t>Overland Park</t>
        </is>
      </c>
      <c r="B8" s="5" t="inlineStr">
        <is>
          <t>PayMore Checkout</t>
        </is>
      </c>
      <c r="C8" s="6" t="n">
        <v>8568</v>
      </c>
      <c r="D8" s="6" t="n">
        <v>4237.94</v>
      </c>
      <c r="E8" s="6" t="n">
        <v>2785.7</v>
      </c>
      <c r="F8" s="7">
        <f>IF(C8&gt;0,D8/C8,"")</f>
        <v/>
      </c>
      <c r="G8" s="7">
        <f>IF(C8&gt;0,E8/C8,"")</f>
        <v/>
      </c>
    </row>
    <row r="9">
      <c r="A9" s="5" t="inlineStr">
        <is>
          <t>Overland Park</t>
        </is>
      </c>
      <c r="B9" s="5" t="inlineStr">
        <is>
          <t>Other (draft orders, Shop app)</t>
        </is>
      </c>
      <c r="C9" s="6" t="n">
        <v>4370.83</v>
      </c>
      <c r="D9" s="6" t="n">
        <v>1650.41</v>
      </c>
      <c r="E9" s="6" t="n">
        <v>1137.52</v>
      </c>
      <c r="F9" s="7">
        <f>IF(C9&gt;0,D9/C9,"")</f>
        <v/>
      </c>
      <c r="G9" s="7">
        <f>IF(C9&gt;0,E9/C9,"")</f>
        <v/>
      </c>
    </row>
    <row r="10">
      <c r="A10" s="8" t="inlineStr">
        <is>
          <t>Overland Park</t>
        </is>
      </c>
      <c r="B10" s="8" t="inlineStr">
        <is>
          <t>Store total</t>
        </is>
      </c>
      <c r="C10" s="9">
        <f>SUM(C5:C9)</f>
        <v/>
      </c>
      <c r="D10" s="9">
        <f>SUM(D5:D9)</f>
        <v/>
      </c>
      <c r="E10" s="9">
        <f>SUM(E5:E9)</f>
        <v/>
      </c>
      <c r="F10" s="10">
        <f>IF(C10&gt;0,D10/C10,"")</f>
        <v/>
      </c>
      <c r="G10" s="10">
        <f>IF(C10&gt;0,E10/C10,"")</f>
        <v/>
      </c>
    </row>
    <row r="12">
      <c r="A12" s="5" t="inlineStr">
        <is>
          <t>Lee's Summit</t>
        </is>
      </c>
      <c r="B12" s="5" t="inlineStr">
        <is>
          <t>Point of Sale</t>
        </is>
      </c>
      <c r="C12" s="6" t="n">
        <v>19642.03</v>
      </c>
      <c r="D12" s="6" t="n">
        <v>10656.08</v>
      </c>
      <c r="E12" s="6" t="n">
        <v>8880.92</v>
      </c>
      <c r="F12" s="7">
        <f>IF(C12&gt;0,D12/C12,"")</f>
        <v/>
      </c>
      <c r="G12" s="7">
        <f>IF(C12&gt;0,E12/C12,"")</f>
        <v/>
      </c>
    </row>
    <row r="13">
      <c r="A13" s="5" t="inlineStr">
        <is>
          <t>Lee's Summit</t>
        </is>
      </c>
      <c r="B13" s="5" t="inlineStr">
        <is>
          <t>Online Store</t>
        </is>
      </c>
      <c r="C13" s="6" t="n">
        <v>16604.95</v>
      </c>
      <c r="D13" s="6" t="n">
        <v>8328.299999999999</v>
      </c>
      <c r="E13" s="6" t="n">
        <v>5686.59</v>
      </c>
      <c r="F13" s="7">
        <f>IF(C13&gt;0,D13/C13,"")</f>
        <v/>
      </c>
      <c r="G13" s="7">
        <f>IF(C13&gt;0,E13/C13,"")</f>
        <v/>
      </c>
    </row>
    <row r="14">
      <c r="A14" s="5" t="inlineStr">
        <is>
          <t>Lee's Summit</t>
        </is>
      </c>
      <c r="B14" s="5" t="inlineStr">
        <is>
          <t>eBay</t>
        </is>
      </c>
      <c r="C14" s="6" t="n">
        <v>74183.74000000001</v>
      </c>
      <c r="D14" s="6" t="n">
        <v>43730.28</v>
      </c>
      <c r="E14" s="6" t="n">
        <v>26303.71</v>
      </c>
      <c r="F14" s="7">
        <f>IF(C14&gt;0,D14/C14,"")</f>
        <v/>
      </c>
      <c r="G14" s="7">
        <f>IF(C14&gt;0,E14/C14,"")</f>
        <v/>
      </c>
    </row>
    <row r="15">
      <c r="A15" s="5" t="inlineStr">
        <is>
          <t>Lee's Summit</t>
        </is>
      </c>
      <c r="B15" s="5" t="inlineStr">
        <is>
          <t>PayMore Checkout</t>
        </is>
      </c>
      <c r="C15" s="6" t="n">
        <v>4078.5</v>
      </c>
      <c r="D15" s="6" t="n">
        <v>1995.5</v>
      </c>
      <c r="E15" s="6" t="n">
        <v>1513.18</v>
      </c>
      <c r="F15" s="7">
        <f>IF(C15&gt;0,D15/C15,"")</f>
        <v/>
      </c>
      <c r="G15" s="7">
        <f>IF(C15&gt;0,E15/C15,"")</f>
        <v/>
      </c>
    </row>
    <row r="16">
      <c r="A16" s="5" t="inlineStr">
        <is>
          <t>Lee's Summit</t>
        </is>
      </c>
      <c r="B16" s="5" t="inlineStr">
        <is>
          <t>Other (draft orders, Shop app)</t>
        </is>
      </c>
      <c r="C16" s="6" t="n">
        <v>2546.05</v>
      </c>
      <c r="D16" s="6" t="n">
        <v>862.3</v>
      </c>
      <c r="E16" s="6" t="n">
        <v>551.1</v>
      </c>
      <c r="F16" s="7">
        <f>IF(C16&gt;0,D16/C16,"")</f>
        <v/>
      </c>
      <c r="G16" s="7">
        <f>IF(C16&gt;0,E16/C16,"")</f>
        <v/>
      </c>
    </row>
    <row r="17">
      <c r="A17" s="8" t="inlineStr">
        <is>
          <t>Lee's Summit</t>
        </is>
      </c>
      <c r="B17" s="8" t="inlineStr">
        <is>
          <t>Store total</t>
        </is>
      </c>
      <c r="C17" s="9">
        <f>SUM(C12:C16)</f>
        <v/>
      </c>
      <c r="D17" s="9">
        <f>SUM(D12:D16)</f>
        <v/>
      </c>
      <c r="E17" s="9">
        <f>SUM(E12:E16)</f>
        <v/>
      </c>
      <c r="F17" s="10">
        <f>IF(C17&gt;0,D17/C17,"")</f>
        <v/>
      </c>
      <c r="G17" s="10">
        <f>IF(C17&gt;0,E17/C17,"")</f>
        <v/>
      </c>
    </row>
    <row r="19">
      <c r="A19" s="5" t="inlineStr">
        <is>
          <t>Westport</t>
        </is>
      </c>
      <c r="B19" s="5" t="inlineStr">
        <is>
          <t>Point of Sale</t>
        </is>
      </c>
      <c r="C19" s="6" t="n">
        <v>9481.57</v>
      </c>
      <c r="D19" s="6" t="n">
        <v>5759.25</v>
      </c>
      <c r="E19" s="6" t="n">
        <v>4874.35</v>
      </c>
      <c r="F19" s="7">
        <f>IF(C19&gt;0,D19/C19,"")</f>
        <v/>
      </c>
      <c r="G19" s="7">
        <f>IF(C19&gt;0,E19/C19,"")</f>
        <v/>
      </c>
    </row>
    <row r="20">
      <c r="A20" s="5" t="inlineStr">
        <is>
          <t>Westport</t>
        </is>
      </c>
      <c r="B20" s="5" t="inlineStr">
        <is>
          <t>Online Store</t>
        </is>
      </c>
      <c r="C20" s="6" t="n">
        <v>15393.84</v>
      </c>
      <c r="D20" s="6" t="n">
        <v>8393.530000000001</v>
      </c>
      <c r="E20" s="6" t="n">
        <v>6060.17</v>
      </c>
      <c r="F20" s="7">
        <f>IF(C20&gt;0,D20/C20,"")</f>
        <v/>
      </c>
      <c r="G20" s="7">
        <f>IF(C20&gt;0,E20/C20,"")</f>
        <v/>
      </c>
    </row>
    <row r="21">
      <c r="A21" s="5" t="inlineStr">
        <is>
          <t>Westport</t>
        </is>
      </c>
      <c r="B21" s="5" t="inlineStr">
        <is>
          <t>eBay</t>
        </is>
      </c>
      <c r="C21" s="6" t="n">
        <v>94263.85000000001</v>
      </c>
      <c r="D21" s="6" t="n">
        <v>57583.25</v>
      </c>
      <c r="E21" s="6" t="n">
        <v>37363.38</v>
      </c>
      <c r="F21" s="7">
        <f>IF(C21&gt;0,D21/C21,"")</f>
        <v/>
      </c>
      <c r="G21" s="7">
        <f>IF(C21&gt;0,E21/C21,"")</f>
        <v/>
      </c>
    </row>
    <row r="22">
      <c r="A22" s="5" t="inlineStr">
        <is>
          <t>Westport</t>
        </is>
      </c>
      <c r="B22" s="5" t="inlineStr">
        <is>
          <t>PayMore Checkout</t>
        </is>
      </c>
      <c r="C22" s="6" t="n">
        <v>4048</v>
      </c>
      <c r="D22" s="6" t="n">
        <v>2084</v>
      </c>
      <c r="E22" s="6" t="n">
        <v>1543.16</v>
      </c>
      <c r="F22" s="7">
        <f>IF(C22&gt;0,D22/C22,"")</f>
        <v/>
      </c>
      <c r="G22" s="7">
        <f>IF(C22&gt;0,E22/C22,"")</f>
        <v/>
      </c>
    </row>
    <row r="23">
      <c r="A23" s="5" t="inlineStr">
        <is>
          <t>Westport</t>
        </is>
      </c>
      <c r="B23" s="5" t="inlineStr">
        <is>
          <t>Other (draft orders, Shop app)</t>
        </is>
      </c>
      <c r="C23" s="6" t="n">
        <v>74.98</v>
      </c>
      <c r="D23" s="6" t="n">
        <v>48.65</v>
      </c>
      <c r="E23" s="6" t="n">
        <v>-249.47</v>
      </c>
      <c r="F23" s="7">
        <f>IF(C23&gt;0,D23/C23,"")</f>
        <v/>
      </c>
      <c r="G23" s="7">
        <f>IF(C23&gt;0,E23/C23,"")</f>
        <v/>
      </c>
    </row>
    <row r="24">
      <c r="A24" s="8" t="inlineStr">
        <is>
          <t>Westport</t>
        </is>
      </c>
      <c r="B24" s="8" t="inlineStr">
        <is>
          <t>Store total</t>
        </is>
      </c>
      <c r="C24" s="9">
        <f>SUM(C19:C23)</f>
        <v/>
      </c>
      <c r="D24" s="9">
        <f>SUM(D19:D23)</f>
        <v/>
      </c>
      <c r="E24" s="9">
        <f>SUM(E19:E23)</f>
        <v/>
      </c>
      <c r="F24" s="10">
        <f>IF(C24&gt;0,D24/C24,"")</f>
        <v/>
      </c>
      <c r="G24" s="10">
        <f>IF(C24&gt;0,E24/C24,"")</f>
        <v/>
      </c>
    </row>
    <row r="26">
      <c r="A26" s="5" t="inlineStr">
        <is>
          <t>Maplewood</t>
        </is>
      </c>
      <c r="B26" s="5" t="inlineStr">
        <is>
          <t>Point of Sale</t>
        </is>
      </c>
      <c r="C26" s="6" t="n">
        <v>13110.23</v>
      </c>
      <c r="D26" s="6" t="n">
        <v>7638.96</v>
      </c>
      <c r="E26" s="6" t="n">
        <v>6399.12</v>
      </c>
      <c r="F26" s="7">
        <f>IF(C26&gt;0,D26/C26,"")</f>
        <v/>
      </c>
      <c r="G26" s="7">
        <f>IF(C26&gt;0,E26/C26,"")</f>
        <v/>
      </c>
    </row>
    <row r="27">
      <c r="A27" s="5" t="inlineStr">
        <is>
          <t>Maplewood</t>
        </is>
      </c>
      <c r="B27" s="5" t="inlineStr">
        <is>
          <t>Online Store</t>
        </is>
      </c>
      <c r="C27" s="6" t="n">
        <v>20322.55</v>
      </c>
      <c r="D27" s="6" t="n">
        <v>10442.62</v>
      </c>
      <c r="E27" s="6" t="n">
        <v>7315.35</v>
      </c>
      <c r="F27" s="7">
        <f>IF(C27&gt;0,D27/C27,"")</f>
        <v/>
      </c>
      <c r="G27" s="7">
        <f>IF(C27&gt;0,E27/C27,"")</f>
        <v/>
      </c>
    </row>
    <row r="28">
      <c r="A28" s="5" t="inlineStr">
        <is>
          <t>Maplewood</t>
        </is>
      </c>
      <c r="B28" s="5" t="inlineStr">
        <is>
          <t>eBay</t>
        </is>
      </c>
      <c r="C28" s="6" t="n">
        <v>56922.09</v>
      </c>
      <c r="D28" s="6" t="n">
        <v>33504.98</v>
      </c>
      <c r="E28" s="6" t="n">
        <v>17990.14</v>
      </c>
      <c r="F28" s="7">
        <f>IF(C28&gt;0,D28/C28,"")</f>
        <v/>
      </c>
      <c r="G28" s="7">
        <f>IF(C28&gt;0,E28/C28,"")</f>
        <v/>
      </c>
    </row>
    <row r="29">
      <c r="A29" s="5" t="inlineStr">
        <is>
          <t>Maplewood</t>
        </is>
      </c>
      <c r="B29" s="5" t="inlineStr">
        <is>
          <t>PayMore Checkout</t>
        </is>
      </c>
      <c r="C29" s="6" t="n">
        <v>3603</v>
      </c>
      <c r="D29" s="6" t="n">
        <v>1711</v>
      </c>
      <c r="E29" s="6" t="n">
        <v>1108.78</v>
      </c>
      <c r="F29" s="7">
        <f>IF(C29&gt;0,D29/C29,"")</f>
        <v/>
      </c>
      <c r="G29" s="7">
        <f>IF(C29&gt;0,E29/C29,"")</f>
        <v/>
      </c>
    </row>
    <row r="30">
      <c r="A30" s="5" t="inlineStr">
        <is>
          <t>Maplewood</t>
        </is>
      </c>
      <c r="B30" s="5" t="inlineStr">
        <is>
          <t>Other (draft orders, Shop app)</t>
        </is>
      </c>
      <c r="C30" s="6" t="n">
        <v>681.96</v>
      </c>
      <c r="D30" s="6" t="n">
        <v>374.96</v>
      </c>
      <c r="E30" s="6" t="n">
        <v>257.34</v>
      </c>
      <c r="F30" s="7">
        <f>IF(C30&gt;0,D30/C30,"")</f>
        <v/>
      </c>
      <c r="G30" s="7">
        <f>IF(C30&gt;0,E30/C30,"")</f>
        <v/>
      </c>
    </row>
    <row r="31">
      <c r="A31" s="8" t="inlineStr">
        <is>
          <t>Maplewood</t>
        </is>
      </c>
      <c r="B31" s="8" t="inlineStr">
        <is>
          <t>Store total</t>
        </is>
      </c>
      <c r="C31" s="9">
        <f>SUM(C26:C30)</f>
        <v/>
      </c>
      <c r="D31" s="9">
        <f>SUM(D26:D30)</f>
        <v/>
      </c>
      <c r="E31" s="9">
        <f>SUM(E26:E30)</f>
        <v/>
      </c>
      <c r="F31" s="10">
        <f>IF(C31&gt;0,D31/C31,"")</f>
        <v/>
      </c>
      <c r="G31" s="10">
        <f>IF(C31&gt;0,E31/C31,"")</f>
        <v/>
      </c>
    </row>
    <row r="33">
      <c r="A33" s="5" t="inlineStr">
        <is>
          <t>Ballwin</t>
        </is>
      </c>
      <c r="B33" s="5" t="inlineStr">
        <is>
          <t>Point of Sale</t>
        </is>
      </c>
      <c r="C33" s="6" t="n">
        <v>14487.87</v>
      </c>
      <c r="D33" s="6" t="n">
        <v>8452.52</v>
      </c>
      <c r="E33" s="6" t="n">
        <v>7051.7</v>
      </c>
      <c r="F33" s="7">
        <f>IF(C33&gt;0,D33/C33,"")</f>
        <v/>
      </c>
      <c r="G33" s="7">
        <f>IF(C33&gt;0,E33/C33,"")</f>
        <v/>
      </c>
    </row>
    <row r="34">
      <c r="A34" s="5" t="inlineStr">
        <is>
          <t>Ballwin</t>
        </is>
      </c>
      <c r="B34" s="5" t="inlineStr">
        <is>
          <t>Online Store</t>
        </is>
      </c>
      <c r="C34" s="6" t="n">
        <v>9834.91</v>
      </c>
      <c r="D34" s="6" t="n">
        <v>6003.32</v>
      </c>
      <c r="E34" s="6" t="n">
        <v>4558.91</v>
      </c>
      <c r="F34" s="7">
        <f>IF(C34&gt;0,D34/C34,"")</f>
        <v/>
      </c>
      <c r="G34" s="7">
        <f>IF(C34&gt;0,E34/C34,"")</f>
        <v/>
      </c>
    </row>
    <row r="35">
      <c r="A35" s="5" t="inlineStr">
        <is>
          <t>Ballwin</t>
        </is>
      </c>
      <c r="B35" s="5" t="inlineStr">
        <is>
          <t>eBay</t>
        </is>
      </c>
      <c r="C35" s="6" t="n">
        <v>65617.44</v>
      </c>
      <c r="D35" s="6" t="n">
        <v>38847.36</v>
      </c>
      <c r="E35" s="6" t="n">
        <v>20222.11</v>
      </c>
      <c r="F35" s="7">
        <f>IF(C35&gt;0,D35/C35,"")</f>
        <v/>
      </c>
      <c r="G35" s="7">
        <f>IF(C35&gt;0,E35/C35,"")</f>
        <v/>
      </c>
    </row>
    <row r="36">
      <c r="A36" s="5" t="inlineStr">
        <is>
          <t>Ballwin</t>
        </is>
      </c>
      <c r="B36" s="5" t="inlineStr">
        <is>
          <t>PayMore Checkout</t>
        </is>
      </c>
      <c r="C36" s="6" t="n">
        <v>4551</v>
      </c>
      <c r="D36" s="6" t="n">
        <v>2083</v>
      </c>
      <c r="E36" s="6" t="n">
        <v>1262.05</v>
      </c>
      <c r="F36" s="7">
        <f>IF(C36&gt;0,D36/C36,"")</f>
        <v/>
      </c>
      <c r="G36" s="7">
        <f>IF(C36&gt;0,E36/C36,"")</f>
        <v/>
      </c>
    </row>
    <row r="37">
      <c r="A37" s="5" t="inlineStr">
        <is>
          <t>Ballwin</t>
        </is>
      </c>
      <c r="B37" s="5" t="inlineStr">
        <is>
          <t>Other (draft orders, Shop app)</t>
        </is>
      </c>
      <c r="C37" s="6" t="n">
        <v>292.25</v>
      </c>
      <c r="D37" s="6" t="n">
        <v>159.92</v>
      </c>
      <c r="E37" s="6" t="n">
        <v>108.09</v>
      </c>
      <c r="F37" s="7">
        <f>IF(C37&gt;0,D37/C37,"")</f>
        <v/>
      </c>
      <c r="G37" s="7">
        <f>IF(C37&gt;0,E37/C37,"")</f>
        <v/>
      </c>
    </row>
    <row r="38">
      <c r="A38" s="8" t="inlineStr">
        <is>
          <t>Ballwin</t>
        </is>
      </c>
      <c r="B38" s="8" t="inlineStr">
        <is>
          <t>Store total</t>
        </is>
      </c>
      <c r="C38" s="9">
        <f>SUM(C33:C37)</f>
        <v/>
      </c>
      <c r="D38" s="9">
        <f>SUM(D33:D37)</f>
        <v/>
      </c>
      <c r="E38" s="9">
        <f>SUM(E33:E37)</f>
        <v/>
      </c>
      <c r="F38" s="10">
        <f>IF(C38&gt;0,D38/C38,"")</f>
        <v/>
      </c>
      <c r="G38" s="10">
        <f>IF(C38&gt;0,E38/C38,"")</f>
        <v/>
      </c>
    </row>
    <row r="40">
      <c r="A40" s="11" t="inlineStr">
        <is>
          <t>All five stores by channel</t>
        </is>
      </c>
    </row>
    <row r="41">
      <c r="A41" s="3" t="inlineStr">
        <is>
          <t>Store</t>
        </is>
      </c>
      <c r="B41" s="3" t="inlineStr">
        <is>
          <t>Channel</t>
        </is>
      </c>
      <c r="C41" s="4" t="inlineStr">
        <is>
          <t>Net Sales</t>
        </is>
      </c>
      <c r="D41" s="4" t="inlineStr">
        <is>
          <t>Gross Profit</t>
        </is>
      </c>
      <c r="E41" s="4" t="inlineStr">
        <is>
          <t>Net Profit</t>
        </is>
      </c>
      <c r="F41" s="4" t="inlineStr">
        <is>
          <t>Gross Margin %</t>
        </is>
      </c>
      <c r="G41" s="4" t="inlineStr">
        <is>
          <t>Net Margin %</t>
        </is>
      </c>
    </row>
    <row r="42">
      <c r="A42" s="5" t="inlineStr">
        <is>
          <t>All stores</t>
        </is>
      </c>
      <c r="B42" s="5" t="inlineStr">
        <is>
          <t>Point of Sale</t>
        </is>
      </c>
      <c r="C42" s="12">
        <f>SUMIFS(C$5:C$37,$B$5:$B$37,$B42)</f>
        <v/>
      </c>
      <c r="D42" s="12">
        <f>SUMIFS(D$5:D$37,$B$5:$B$37,$B42)</f>
        <v/>
      </c>
      <c r="E42" s="12">
        <f>SUMIFS(E$5:E$37,$B$5:$B$37,$B42)</f>
        <v/>
      </c>
      <c r="F42" s="7">
        <f>IF(C42&gt;0,D42/C42,"")</f>
        <v/>
      </c>
      <c r="G42" s="7">
        <f>IF(C42&gt;0,E42/C42,"")</f>
        <v/>
      </c>
    </row>
    <row r="43">
      <c r="A43" s="5" t="inlineStr">
        <is>
          <t>All stores</t>
        </is>
      </c>
      <c r="B43" s="5" t="inlineStr">
        <is>
          <t>Online Store</t>
        </is>
      </c>
      <c r="C43" s="12">
        <f>SUMIFS(C$5:C$37,$B$5:$B$37,$B43)</f>
        <v/>
      </c>
      <c r="D43" s="12">
        <f>SUMIFS(D$5:D$37,$B$5:$B$37,$B43)</f>
        <v/>
      </c>
      <c r="E43" s="12">
        <f>SUMIFS(E$5:E$37,$B$5:$B$37,$B43)</f>
        <v/>
      </c>
      <c r="F43" s="7">
        <f>IF(C43&gt;0,D43/C43,"")</f>
        <v/>
      </c>
      <c r="G43" s="7">
        <f>IF(C43&gt;0,E43/C43,"")</f>
        <v/>
      </c>
    </row>
    <row r="44">
      <c r="A44" s="5" t="inlineStr">
        <is>
          <t>All stores</t>
        </is>
      </c>
      <c r="B44" s="5" t="inlineStr">
        <is>
          <t>eBay</t>
        </is>
      </c>
      <c r="C44" s="12">
        <f>SUMIFS(C$5:C$37,$B$5:$B$37,$B44)</f>
        <v/>
      </c>
      <c r="D44" s="12">
        <f>SUMIFS(D$5:D$37,$B$5:$B$37,$B44)</f>
        <v/>
      </c>
      <c r="E44" s="12">
        <f>SUMIFS(E$5:E$37,$B$5:$B$37,$B44)</f>
        <v/>
      </c>
      <c r="F44" s="7">
        <f>IF(C44&gt;0,D44/C44,"")</f>
        <v/>
      </c>
      <c r="G44" s="7">
        <f>IF(C44&gt;0,E44/C44,"")</f>
        <v/>
      </c>
    </row>
    <row r="45">
      <c r="A45" s="5" t="inlineStr">
        <is>
          <t>All stores</t>
        </is>
      </c>
      <c r="B45" s="5" t="inlineStr">
        <is>
          <t>PayMore Checkout</t>
        </is>
      </c>
      <c r="C45" s="12">
        <f>SUMIFS(C$5:C$37,$B$5:$B$37,$B45)</f>
        <v/>
      </c>
      <c r="D45" s="12">
        <f>SUMIFS(D$5:D$37,$B$5:$B$37,$B45)</f>
        <v/>
      </c>
      <c r="E45" s="12">
        <f>SUMIFS(E$5:E$37,$B$5:$B$37,$B45)</f>
        <v/>
      </c>
      <c r="F45" s="7">
        <f>IF(C45&gt;0,D45/C45,"")</f>
        <v/>
      </c>
      <c r="G45" s="7">
        <f>IF(C45&gt;0,E45/C45,"")</f>
        <v/>
      </c>
    </row>
    <row r="46">
      <c r="A46" s="5" t="inlineStr">
        <is>
          <t>All stores</t>
        </is>
      </c>
      <c r="B46" s="5" t="inlineStr">
        <is>
          <t>Other (draft orders, Shop app)</t>
        </is>
      </c>
      <c r="C46" s="12">
        <f>SUMIFS(C$5:C$37,$B$5:$B$37,$B46)</f>
        <v/>
      </c>
      <c r="D46" s="12">
        <f>SUMIFS(D$5:D$37,$B$5:$B$37,$B46)</f>
        <v/>
      </c>
      <c r="E46" s="12">
        <f>SUMIFS(E$5:E$37,$B$5:$B$37,$B46)</f>
        <v/>
      </c>
      <c r="F46" s="7">
        <f>IF(C46&gt;0,D46/C46,"")</f>
        <v/>
      </c>
      <c r="G46" s="7">
        <f>IF(C46&gt;0,E46/C46,"")</f>
        <v/>
      </c>
    </row>
    <row r="47">
      <c r="A47" s="13" t="inlineStr">
        <is>
          <t>All stores</t>
        </is>
      </c>
      <c r="B47" s="13" t="inlineStr">
        <is>
          <t>Company total</t>
        </is>
      </c>
      <c r="C47" s="14">
        <f>SUM(C42:C46)</f>
        <v/>
      </c>
      <c r="D47" s="14">
        <f>SUM(D42:D46)</f>
        <v/>
      </c>
      <c r="E47" s="14">
        <f>SUM(E42:E46)</f>
        <v/>
      </c>
      <c r="F47" s="15">
        <f>IF(C47&gt;0,D47/C47,"")</f>
        <v/>
      </c>
      <c r="G47" s="15">
        <f>IF(C47&gt;0,E47/C47,"")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0" customWidth="1" min="2" max="2"/>
  </cols>
  <sheetData>
    <row r="1">
      <c r="A1" s="1" t="inlineStr">
        <is>
          <t>How these numbers were worked out</t>
        </is>
      </c>
    </row>
    <row r="2">
      <c r="A2" s="2" t="inlineStr">
        <is>
          <t>Period: September 1–30, 2026 (Central time). Pulled October 18, 2026.</t>
        </is>
      </c>
    </row>
    <row r="4" ht="34" customHeight="1">
      <c r="A4" s="16" t="inlineStr">
        <is>
          <t>Net Sales</t>
        </is>
      </c>
      <c r="B4" s="17" t="inlineStr">
        <is>
          <t>Shopify's September sales report for each store, grouped by sales channel. Net sales are after discounts and returns.</t>
        </is>
      </c>
    </row>
    <row r="5" ht="34" customHeight="1">
      <c r="A5" s="16" t="inlineStr">
        <is>
          <t>Gross Profit</t>
        </is>
      </c>
      <c r="B5" s="17" t="inlineStr">
        <is>
          <t>Net sales minus cost of goods sold, both from the same Shopify report. Gross Margin % = Gross Profit ÷ Net Sales.</t>
        </is>
      </c>
    </row>
    <row r="6" ht="49" customHeight="1">
      <c r="A6" s="16" t="inlineStr">
        <is>
          <t>Net Profit</t>
        </is>
      </c>
      <c r="B6" s="17" t="inlineStr">
        <is>
          <t>Gross profit minus eBay fees, shipping labels, card processing fees, and the 7% PayMore royalty on net sales. This is the same formula as the daily Net Profit tab. Payroll, rent and other overhead are not included. Net Margin % = Net Profit ÷ Net Sales.</t>
        </is>
      </c>
    </row>
    <row r="7" ht="49" customHeight="1">
      <c r="A7" s="16" t="inlineStr">
        <is>
          <t>eBay</t>
        </is>
      </c>
      <c r="B7" s="17" t="inlineStr">
        <is>
          <t>Orders in Shopify's "PayMore" channel that carry an eBay order id, plus September refunds on older eBay orders that came in through Marketplace Connect and SPEEKS Connect. All eBay fees are charged to eBay. Each fee is matched to its order by the eBay order id.</t>
        </is>
      </c>
    </row>
    <row r="8" ht="64" customHeight="1">
      <c r="A8" s="16" t="inlineStr">
        <is>
          <t>PayMore Checkout</t>
        </is>
      </c>
      <c r="B8" s="17" t="inlineStr">
        <is>
          <t>Orders in the same "PayMore" channel tagged POS_INVOICE (note: "Invoice generated by Paymore POS", SKUs ending in -CheckOut). They have no eBay order id, so no eBay fees. They are paid through a manual payment method, so Shopify shows no card fee; any processing fee PayMore charges for Checkout is not included here.</t>
        </is>
      </c>
    </row>
    <row r="9" ht="34" customHeight="1">
      <c r="A9" s="16" t="inlineStr">
        <is>
          <t>Point of Sale</t>
        </is>
      </c>
      <c r="B9" s="17" t="inlineStr">
        <is>
          <t>In-store sales through Shopify POS. No shipping. Card fees are the actual Shopify Payments processing fees on each order; cash sales have none.</t>
        </is>
      </c>
    </row>
    <row r="10" ht="34" customHeight="1">
      <c r="A10" s="16" t="inlineStr">
        <is>
          <t>Online Store</t>
        </is>
      </c>
      <c r="B10" s="17" t="inlineStr">
        <is>
          <t>Sales through the store's Shopify website. Shipping labels and card fees are taken from each order.</t>
        </is>
      </c>
    </row>
    <row r="11" ht="34" customHeight="1">
      <c r="A11" s="16" t="inlineStr">
        <is>
          <t>Other</t>
        </is>
      </c>
      <c r="B11" s="17" t="inlineStr">
        <is>
          <t>Draft orders (invoices keyed by hand) and the Shop app. Small amounts, shown so each store's total is complete.</t>
        </is>
      </c>
    </row>
    <row r="12" ht="34" customHeight="1">
      <c r="A12" s="16" t="inlineStr">
        <is>
          <t>Shipping &amp; card fees</t>
        </is>
      </c>
      <c r="B12" s="17" t="inlineStr">
        <is>
          <t>Assigned order by order to the channel each order came from, not spread evenly. Return labels that eBay bills us for are charged to eBay.</t>
        </is>
      </c>
    </row>
    <row r="13" ht="34" customHeight="1">
      <c r="A13" s="16" t="inlineStr">
        <is>
          <t>Recycling (excluded)</t>
        </is>
      </c>
      <c r="B13" s="17" t="inlineStr">
        <is>
          <t>Orders tagged RECYCLING also come through the PayMore channel. They are a flat 20% that PayMore takes on recycled items, not a sales channel, so they are left out of every figure.</t>
        </is>
      </c>
    </row>
    <row r="14" ht="64" customHeight="1">
      <c r="A14" s="16" t="inlineStr">
        <is>
          <t>Ties to the NP tab</t>
        </is>
      </c>
      <c r="B14" s="17" t="inlineStr">
        <is>
          <t>With recycling added back, every store matches the closed September Net Profit tab, except Overland Park. Shopify now shows $2,322 more sales at Overland Park in the first week of September than when the month was closed on Oct 6 (about $1,164 of net profit), so this sheet is that much higher for OVL.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2026-10-18T16:10:00Z</dcterms:created>
  <dcterms:modified xsi:type="dcterms:W3CDTF">2026-10-18T16:10:00Z</dcterms:modified>
</cp:coreProperties>
</file>